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440c0258ef700/Documentos/SANTANDER/"/>
    </mc:Choice>
  </mc:AlternateContent>
  <xr:revisionPtr revIDLastSave="491" documentId="8_{6B693389-C362-40E7-AF59-D4B6DD46F061}" xr6:coauthVersionLast="47" xr6:coauthVersionMax="47" xr10:uidLastSave="{2F70278D-2DA6-4408-A158-0E5F6BAFC9B3}"/>
  <bookViews>
    <workbookView minimized="1" xWindow="5430" yWindow="1845" windowWidth="15375" windowHeight="7875" tabRatio="371" xr2:uid="{2BA71833-4682-45FE-B2F3-FC88F81791B2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35" i="1"/>
  <c r="H3" i="2"/>
  <c r="A5" i="2"/>
  <c r="A4" i="2"/>
  <c r="A9" i="2"/>
  <c r="A10" i="2"/>
  <c r="A11" i="2"/>
  <c r="A12" i="2"/>
  <c r="A13" i="2"/>
  <c r="A14" i="2"/>
  <c r="A15" i="2"/>
  <c r="A16" i="2"/>
  <c r="A17" i="2"/>
  <c r="A18" i="2"/>
  <c r="A19" i="2"/>
  <c r="A20" i="2"/>
  <c r="A6" i="2"/>
  <c r="A7" i="2"/>
  <c r="A8" i="2"/>
  <c r="A3" i="2"/>
  <c r="C32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6" i="1" l="1"/>
  <c r="D37" i="1"/>
  <c r="D38" i="1"/>
  <c r="D39" i="1"/>
  <c r="D40" i="1"/>
  <c r="D35" i="1"/>
  <c r="D41" i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<sst xmlns="http://schemas.openxmlformats.org/spreadsheetml/2006/main" count="71" uniqueCount="34">
  <si>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</si>
  <si>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</si>
  <si>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</si>
  <si>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</si>
  <si>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</si>
  <si>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</si>
  <si>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</si>
  <si>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</si>
  <si>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</si>
  <si>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</si>
  <si>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</si>
  <si>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</si>
  <si>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</si>
  <si>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%</t>
  </si>
  <si>
    <t>Salário</t>
  </si>
  <si>
    <t>Rendimento Carteira</t>
  </si>
  <si>
    <t>CONFIGURAÇÕES</t>
  </si>
  <si>
    <t>PERFIL</t>
  </si>
  <si>
    <t>Conservador</t>
  </si>
  <si>
    <t>Moderado</t>
  </si>
  <si>
    <t>Agressivo</t>
  </si>
  <si>
    <t>VALOR A SER INVESTIDO POR MÈS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</si>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</sst>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thin">
        <color theme="0" tint="-4.9989318521683403E-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4" fillId="0" borderId="0" xfId="0" applyFont="1"/>
    <xf numFmtId="0" fontId="6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9" fillId="0" borderId="26" xfId="1" applyNumberFormat="1" applyFont="1" applyBorder="1" applyAlignment="1">
      <alignment horizontal="center"/>
    </xf>
    <xf numFmtId="10" fontId="9" fillId="0" borderId="22" xfId="0" applyNumberFormat="1" applyFont="1" applyBorder="1" applyAlignment="1">
      <alignment horizontal="center"/>
    </xf>
    <xf numFmtId="164" fontId="10" fillId="0" borderId="10" xfId="1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0" fontId="10" fillId="0" borderId="12" xfId="0" applyNumberFormat="1" applyFont="1" applyBorder="1" applyAlignment="1">
      <alignment horizontal="center"/>
    </xf>
    <xf numFmtId="8" fontId="10" fillId="4" borderId="12" xfId="0" applyNumberFormat="1" applyFont="1" applyFill="1" applyBorder="1" applyAlignment="1">
      <alignment horizontal="center"/>
    </xf>
    <xf numFmtId="8" fontId="10" fillId="4" borderId="14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left" indent="5"/>
    </xf>
    <xf numFmtId="8" fontId="9" fillId="4" borderId="17" xfId="0" applyNumberFormat="1" applyFont="1" applyFill="1" applyBorder="1" applyAlignment="1">
      <alignment horizontal="center"/>
    </xf>
    <xf numFmtId="8" fontId="9" fillId="4" borderId="4" xfId="0" applyNumberFormat="1" applyFont="1" applyFill="1" applyBorder="1" applyAlignment="1">
      <alignment horizontal="center"/>
    </xf>
    <xf numFmtId="0" fontId="9" fillId="0" borderId="0" xfId="0" applyFont="1"/>
    <xf numFmtId="0" fontId="8" fillId="4" borderId="5" xfId="0" applyFont="1" applyFill="1" applyBorder="1" applyAlignment="1">
      <alignment horizontal="left" indent="5"/>
    </xf>
    <xf numFmtId="8" fontId="9" fillId="4" borderId="18" xfId="0" applyNumberFormat="1" applyFont="1" applyFill="1" applyBorder="1" applyAlignment="1">
      <alignment horizontal="center"/>
    </xf>
    <xf numFmtId="8" fontId="9" fillId="4" borderId="6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left" indent="5"/>
    </xf>
    <xf numFmtId="8" fontId="9" fillId="4" borderId="19" xfId="0" applyNumberFormat="1" applyFont="1" applyFill="1" applyBorder="1" applyAlignment="1">
      <alignment horizontal="center"/>
    </xf>
    <xf numFmtId="8" fontId="9" fillId="4" borderId="8" xfId="0" applyNumberFormat="1" applyFont="1" applyFill="1" applyBorder="1" applyAlignment="1">
      <alignment horizontal="center"/>
    </xf>
    <xf numFmtId="164" fontId="9" fillId="5" borderId="24" xfId="1" applyNumberFormat="1" applyFont="1" applyFill="1" applyBorder="1" applyAlignment="1">
      <alignment horizontal="center"/>
    </xf>
    <xf numFmtId="0" fontId="2" fillId="2" borderId="0" xfId="2"/>
    <xf numFmtId="0" fontId="0" fillId="5" borderId="0" xfId="0" applyFill="1"/>
    <xf numFmtId="164" fontId="0" fillId="5" borderId="0" xfId="0" applyNumberFormat="1" applyFill="1"/>
    <xf numFmtId="0" fontId="2" fillId="2" borderId="0" xfId="2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2" fillId="2" borderId="0" xfId="2" applyNumberFormat="1"/>
    <xf numFmtId="0" fontId="8" fillId="5" borderId="20" xfId="0" applyFont="1" applyFill="1" applyBorder="1" applyAlignment="1">
      <alignment horizontal="left" indent="5"/>
    </xf>
    <xf numFmtId="0" fontId="8" fillId="5" borderId="25" xfId="0" applyFont="1" applyFill="1" applyBorder="1" applyAlignment="1">
      <alignment horizontal="left" indent="5"/>
    </xf>
    <xf numFmtId="0" fontId="8" fillId="5" borderId="21" xfId="0" applyFont="1" applyFill="1" applyBorder="1" applyAlignment="1">
      <alignment horizontal="left" indent="5"/>
    </xf>
    <xf numFmtId="0" fontId="8" fillId="5" borderId="27" xfId="0" applyFont="1" applyFill="1" applyBorder="1" applyAlignment="1">
      <alignment horizontal="left" indent="5"/>
    </xf>
    <xf numFmtId="0" fontId="8" fillId="5" borderId="23" xfId="0" applyFont="1" applyFill="1" applyBorder="1" applyAlignment="1">
      <alignment horizontal="left" indent="5"/>
    </xf>
    <xf numFmtId="0" fontId="8" fillId="5" borderId="28" xfId="0" applyFont="1" applyFill="1" applyBorder="1" applyAlignment="1">
      <alignment horizontal="left" indent="5"/>
    </xf>
    <xf numFmtId="0" fontId="7" fillId="6" borderId="1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indent="5"/>
    </xf>
    <xf numFmtId="0" fontId="8" fillId="5" borderId="29" xfId="0" applyFont="1" applyFill="1" applyBorder="1" applyAlignment="1">
      <alignment horizontal="left" indent="5"/>
    </xf>
    <xf numFmtId="0" fontId="8" fillId="5" borderId="11" xfId="0" applyFont="1" applyFill="1" applyBorder="1" applyAlignment="1">
      <alignment horizontal="left" indent="5"/>
    </xf>
    <xf numFmtId="0" fontId="8" fillId="5" borderId="30" xfId="0" applyFont="1" applyFill="1" applyBorder="1" applyAlignment="1">
      <alignment horizontal="left" indent="5"/>
    </xf>
    <xf numFmtId="0" fontId="11" fillId="4" borderId="11" xfId="0" applyFont="1" applyFill="1" applyBorder="1" applyAlignment="1">
      <alignment horizontal="left" indent="5"/>
    </xf>
    <xf numFmtId="0" fontId="11" fillId="4" borderId="30" xfId="0" applyFont="1" applyFill="1" applyBorder="1" applyAlignment="1">
      <alignment horizontal="left" indent="5"/>
    </xf>
    <xf numFmtId="0" fontId="11" fillId="4" borderId="13" xfId="0" applyFont="1" applyFill="1" applyBorder="1" applyAlignment="1">
      <alignment horizontal="left" indent="5"/>
    </xf>
    <xf numFmtId="0" fontId="11" fillId="4" borderId="31" xfId="0" applyFont="1" applyFill="1" applyBorder="1" applyAlignment="1">
      <alignment horizontal="left" indent="5"/>
    </xf>
    <xf numFmtId="0" fontId="4" fillId="8" borderId="0" xfId="0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Planilha1!$C$34</c:f>
              <c:strCache>
                <c:ptCount val="1"/>
                <c:pt idx="0">
                  <c:v>Percentual Sugerido</c:v>
                </c:pt>
              </c:strCache>
            </c:strRef>
          </c:tx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6-42A3-905A-F0E88C63B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41</xdr:row>
      <xdr:rowOff>171448</xdr:rowOff>
    </xdr:from>
    <xdr:to>
      <xdr:col>3</xdr:col>
      <xdr:colOff>57150</xdr:colOff>
      <xdr:row>54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F05272-5ECF-0D70-E0A4-F72C7DF6D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171451</xdr:colOff>
      <xdr:row>0</xdr:row>
      <xdr:rowOff>76186</xdr:rowOff>
    </xdr:from>
    <xdr:to>
      <xdr:col>6</xdr:col>
      <xdr:colOff>47626</xdr:colOff>
      <xdr:row>9</xdr:row>
      <xdr:rowOff>38100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D2C75D3-E3CF-805A-C897-2B6393761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0" t="15999" r="614" b="18687"/>
        <a:stretch>
          <a:fillRect/>
        </a:stretch>
      </xdr:blipFill>
      <xdr:spPr>
        <a:xfrm>
          <a:off x="171451" y="76186"/>
          <a:ext cx="6972300" cy="1752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326E-1797-4FB1-A38A-7377C4541DE5}">
  <dimension ref="A9:H41"/>
  <sheetViews>
    <sheetView showGridLines="0" showRowColHeaders="0" tabSelected="1" workbookViewId="0">
      <selection activeCell="D25" sqref="D25"/>
    </sheetView>
  </sheetViews>
  <sheetFormatPr defaultColWidth="0" defaultRowHeight="15" x14ac:dyDescent="0.25"/>
  <cols>
    <col min="1" max="1" width="6" customWidth="1"/>
    <col min="2" max="2" width="38.140625" customWidth="1"/>
    <col min="3" max="3" width="43.28515625" customWidth="1"/>
    <col min="4" max="4" width="16" customWidth="1"/>
    <col min="5" max="5" width="1.42578125" customWidth="1"/>
    <col min="6" max="7" width="1.5703125" customWidth="1"/>
    <col min="8" max="8" width="1.7109375" customWidth="1"/>
    <col min="9" max="11" width="9.140625" hidden="1" customWidth="1"/>
    <col min="12" max="16384" width="9.140625" hidden="1"/>
  </cols>
  <sheetData>
    <row r="9" spans="2:4" ht="21" customHeight="1" x14ac:dyDescent="0.25"/>
    <row r="10" spans="2:4" ht="15.75" thickBot="1" x14ac:dyDescent="0.3"/>
    <row r="11" spans="2:4" ht="30.75" x14ac:dyDescent="0.25">
      <c r="B11" s="44" t="s">
        <v>16</v>
      </c>
      <c r="C11" s="45"/>
      <c r="D11" s="46"/>
    </row>
    <row r="12" spans="2:4" ht="18" thickBot="1" x14ac:dyDescent="0.35">
      <c r="B12" s="38" t="s">
        <v>14</v>
      </c>
      <c r="C12" s="39"/>
      <c r="D12" s="5">
        <v>2000</v>
      </c>
    </row>
    <row r="13" spans="2:4" ht="18" thickBot="1" x14ac:dyDescent="0.35">
      <c r="B13" s="40" t="s">
        <v>15</v>
      </c>
      <c r="C13" s="41"/>
      <c r="D13" s="6">
        <v>6.0000000000000001E-3</v>
      </c>
    </row>
    <row r="14" spans="2:4" ht="18" thickBot="1" x14ac:dyDescent="0.35">
      <c r="B14" s="42" t="s">
        <v>33</v>
      </c>
      <c r="C14" s="43"/>
      <c r="D14" s="22">
        <f>D12*30%</f>
        <v>600</v>
      </c>
    </row>
    <row r="15" spans="2:4" ht="15.75" thickBot="1" x14ac:dyDescent="0.3"/>
    <row r="16" spans="2:4" ht="31.5" customHeight="1" x14ac:dyDescent="0.25">
      <c r="B16" s="47" t="s">
        <v>4</v>
      </c>
      <c r="C16" s="48"/>
      <c r="D16" s="2"/>
    </row>
    <row r="17" spans="1:4" ht="17.25" x14ac:dyDescent="0.3">
      <c r="B17" s="49" t="s">
        <v>0</v>
      </c>
      <c r="C17" s="50"/>
      <c r="D17" s="7">
        <v>200</v>
      </c>
    </row>
    <row r="18" spans="1:4" ht="17.25" x14ac:dyDescent="0.3">
      <c r="B18" s="51" t="s">
        <v>1</v>
      </c>
      <c r="C18" s="52"/>
      <c r="D18" s="8">
        <v>5</v>
      </c>
    </row>
    <row r="19" spans="1:4" ht="17.25" x14ac:dyDescent="0.3">
      <c r="B19" s="51" t="s">
        <v>2</v>
      </c>
      <c r="C19" s="52"/>
      <c r="D19" s="9">
        <v>1.0789999999999999E-2</v>
      </c>
    </row>
    <row r="20" spans="1:4" ht="17.25" x14ac:dyDescent="0.3">
      <c r="B20" s="53" t="s">
        <v>5</v>
      </c>
      <c r="C20" s="54"/>
      <c r="D20" s="10">
        <f>FV(taxa_mensal,qtd_anos*12,aporte*-1)</f>
        <v>16755.382799697527</v>
      </c>
    </row>
    <row r="21" spans="1:4" ht="18" thickBot="1" x14ac:dyDescent="0.35">
      <c r="B21" s="55" t="s">
        <v>3</v>
      </c>
      <c r="C21" s="56"/>
      <c r="D21" s="11">
        <f>patrimonio*rendimento_carteira</f>
        <v>100.53229679818516</v>
      </c>
    </row>
    <row r="22" spans="1:4" ht="15.75" thickBot="1" x14ac:dyDescent="0.3"/>
    <row r="23" spans="1:4" ht="30.75" x14ac:dyDescent="0.25">
      <c r="B23" s="47" t="s">
        <v>11</v>
      </c>
      <c r="C23" s="48"/>
      <c r="D23" s="3" t="s">
        <v>12</v>
      </c>
    </row>
    <row r="24" spans="1:4" s="15" customFormat="1" ht="17.25" x14ac:dyDescent="0.3">
      <c r="A24" s="1">
        <v>2</v>
      </c>
      <c r="B24" s="12" t="s">
        <v>6</v>
      </c>
      <c r="C24" s="13">
        <f>FV($D$19,$A24*12,$D$17*-1)</f>
        <v>5445.5254595290435</v>
      </c>
      <c r="D24" s="14">
        <f>C24*rendimento_carteira</f>
        <v>32.673152757174265</v>
      </c>
    </row>
    <row r="25" spans="1:4" s="15" customFormat="1" ht="17.25" x14ac:dyDescent="0.3">
      <c r="A25" s="1">
        <v>5</v>
      </c>
      <c r="B25" s="16" t="s">
        <v>7</v>
      </c>
      <c r="C25" s="17">
        <f>FV($D$19,$A25*12,$D$17*-1)</f>
        <v>16755.382799697527</v>
      </c>
      <c r="D25" s="18">
        <f>C25*rendimento_carteira</f>
        <v>100.53229679818516</v>
      </c>
    </row>
    <row r="26" spans="1:4" s="15" customFormat="1" ht="17.25" x14ac:dyDescent="0.3">
      <c r="A26" s="1">
        <v>10</v>
      </c>
      <c r="B26" s="16" t="s">
        <v>8</v>
      </c>
      <c r="C26" s="17">
        <f>FV($D$19,$A26*12,$D$17*-1)</f>
        <v>48656.842506034438</v>
      </c>
      <c r="D26" s="18">
        <f>C26*rendimento_carteira</f>
        <v>291.94105503620665</v>
      </c>
    </row>
    <row r="27" spans="1:4" s="15" customFormat="1" ht="17.25" x14ac:dyDescent="0.3">
      <c r="A27" s="1">
        <v>20</v>
      </c>
      <c r="B27" s="16" t="s">
        <v>9</v>
      </c>
      <c r="C27" s="17">
        <f>FV($D$19,$A27*12,$D$17*-1)</f>
        <v>225039.68001941612</v>
      </c>
      <c r="D27" s="18">
        <f>C27*rendimento_carteira</f>
        <v>1350.2380801164968</v>
      </c>
    </row>
    <row r="28" spans="1:4" s="15" customFormat="1" ht="18" thickBot="1" x14ac:dyDescent="0.35">
      <c r="A28" s="1">
        <v>30</v>
      </c>
      <c r="B28" s="19" t="s">
        <v>10</v>
      </c>
      <c r="C28" s="20">
        <f>FV($D$19,$A28*12,$D$17*-1)</f>
        <v>864433.93100094295</v>
      </c>
      <c r="D28" s="21">
        <f>C28*rendimento_carteira</f>
        <v>5186.6035860056581</v>
      </c>
    </row>
    <row r="31" spans="1:4" x14ac:dyDescent="0.25">
      <c r="B31" s="23" t="s">
        <v>17</v>
      </c>
      <c r="C31" s="26" t="s">
        <v>18</v>
      </c>
      <c r="D31" s="23"/>
    </row>
    <row r="32" spans="1:4" x14ac:dyDescent="0.25">
      <c r="B32" s="27" t="s">
        <v>21</v>
      </c>
      <c r="C32" s="28">
        <f>aporte</f>
        <v>200</v>
      </c>
      <c r="D32" s="24"/>
    </row>
    <row r="34" spans="2:4" x14ac:dyDescent="0.25">
      <c r="B34" s="29" t="s">
        <v>22</v>
      </c>
      <c r="C34" s="29" t="s">
        <v>23</v>
      </c>
      <c r="D34" s="29" t="s">
        <v>24</v>
      </c>
    </row>
    <row r="35" spans="2:4" x14ac:dyDescent="0.25">
      <c r="B35" s="4" t="s">
        <v>25</v>
      </c>
      <c r="C35" s="32">
        <f>VLOOKUP($C$31&amp;"-"&amp;B35,Planilha2!$A:$D,4,FALSE)</f>
        <v>0.3</v>
      </c>
      <c r="D35" s="25">
        <f>C35*$C$32</f>
        <v>60</v>
      </c>
    </row>
    <row r="36" spans="2:4" x14ac:dyDescent="0.25">
      <c r="B36" s="4" t="s">
        <v>26</v>
      </c>
      <c r="C36" s="32">
        <f>VLOOKUP($C$31&amp;"-"&amp;B36,Planilha2!$A:$D,4,FALSE)</f>
        <v>0.5</v>
      </c>
      <c r="D36" s="25">
        <f t="shared" ref="D36:D40" si="0">C36*$C$32</f>
        <v>100</v>
      </c>
    </row>
    <row r="37" spans="2:4" x14ac:dyDescent="0.25">
      <c r="B37" s="4" t="s">
        <v>27</v>
      </c>
      <c r="C37" s="32">
        <f>VLOOKUP($C$31&amp;"-"&amp;B37,Planilha2!$A:$D,4,FALSE)</f>
        <v>0.1</v>
      </c>
      <c r="D37" s="25">
        <f t="shared" si="0"/>
        <v>20</v>
      </c>
    </row>
    <row r="38" spans="2:4" x14ac:dyDescent="0.25">
      <c r="B38" s="4" t="s">
        <v>28</v>
      </c>
      <c r="C38" s="32">
        <f>VLOOKUP($C$31&amp;"-"&amp;B38,Planilha2!$A:$D,4,FALSE)</f>
        <v>0.1</v>
      </c>
      <c r="D38" s="25">
        <f t="shared" si="0"/>
        <v>20</v>
      </c>
    </row>
    <row r="39" spans="2:4" x14ac:dyDescent="0.25">
      <c r="B39" s="4" t="s">
        <v>29</v>
      </c>
      <c r="C39" s="32">
        <f>VLOOKUP($C$31&amp;"-"&amp;B39,Planilha2!$A:$D,4,FALSE)</f>
        <v>0</v>
      </c>
      <c r="D39" s="25">
        <f t="shared" si="0"/>
        <v>0</v>
      </c>
    </row>
    <row r="40" spans="2:4" x14ac:dyDescent="0.25">
      <c r="B40" s="4" t="s">
        <v>30</v>
      </c>
      <c r="C40" s="32">
        <f>VLOOKUP($C$31&amp;"-"&amp;B40,Planilha2!$A:$D,4,FALSE)</f>
        <v>0</v>
      </c>
      <c r="D40" s="25">
        <f t="shared" si="0"/>
        <v>0</v>
      </c>
    </row>
    <row r="41" spans="2:4" x14ac:dyDescent="0.25">
      <c r="B41" s="30"/>
      <c r="C41" s="33"/>
      <c r="D41" s="31">
        <f>SUM(D35:D40)</f>
        <v>200</v>
      </c>
    </row>
  </sheetData>
  <mergeCells count="11">
    <mergeCell ref="B23:C23"/>
    <mergeCell ref="B17:C17"/>
    <mergeCell ref="B19:C19"/>
    <mergeCell ref="B18:C18"/>
    <mergeCell ref="B20:C20"/>
    <mergeCell ref="B21:C21"/>
    <mergeCell ref="B12:C12"/>
    <mergeCell ref="B13:C13"/>
    <mergeCell ref="B14:C14"/>
    <mergeCell ref="B11:D11"/>
    <mergeCell ref="B16:C16"/>
  </mergeCells>
  <dataValidations disablePrompts="1" count="1">
    <dataValidation type="list" allowBlank="1" showInputMessage="1" showErrorMessage="1" sqref="C31" xr:uid="{DA952814-B1E4-41CF-B1A6-888F9E619E4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6C19-CE43-4F19-ADD0-AECE0F04227F}">
  <dimension ref="A2:H20"/>
  <sheetViews>
    <sheetView showGridLines="0" workbookViewId="0">
      <selection activeCell="A5" sqref="A5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9.140625" bestFit="1" customWidth="1"/>
  </cols>
  <sheetData>
    <row r="2" spans="1:8" x14ac:dyDescent="0.25">
      <c r="A2" s="57" t="s">
        <v>31</v>
      </c>
      <c r="B2" s="57" t="s">
        <v>17</v>
      </c>
      <c r="C2" s="57" t="s">
        <v>22</v>
      </c>
      <c r="D2" s="57" t="s">
        <v>13</v>
      </c>
      <c r="H2" t="s">
        <v>13</v>
      </c>
    </row>
    <row r="3" spans="1:8" x14ac:dyDescent="0.25">
      <c r="A3" t="str">
        <f>B3&amp;"-"&amp;C3</f>
        <v>Conservador-PAPEL</v>
      </c>
      <c r="B3" t="s">
        <v>18</v>
      </c>
      <c r="C3" s="4" t="s">
        <v>25</v>
      </c>
      <c r="D3" s="32">
        <v>0.3</v>
      </c>
      <c r="G3" s="23" t="s">
        <v>32</v>
      </c>
      <c r="H3" s="37">
        <f>VLOOKUP(G3,$A:$D,4,FALSE)</f>
        <v>0.35</v>
      </c>
    </row>
    <row r="4" spans="1:8" x14ac:dyDescent="0.25">
      <c r="A4" t="str">
        <f>B4&amp;"-"&amp;C4</f>
        <v>Conservador-TIJOLO</v>
      </c>
      <c r="B4" t="s">
        <v>18</v>
      </c>
      <c r="C4" s="4" t="s">
        <v>26</v>
      </c>
      <c r="D4" s="32">
        <v>0.5</v>
      </c>
    </row>
    <row r="5" spans="1:8" x14ac:dyDescent="0.25">
      <c r="A5" t="str">
        <f>B5&amp;"-"&amp;C5</f>
        <v>Conservador-HIBRIDOS</v>
      </c>
      <c r="B5" t="s">
        <v>18</v>
      </c>
      <c r="C5" s="4" t="s">
        <v>27</v>
      </c>
      <c r="D5" s="32">
        <v>0.1</v>
      </c>
    </row>
    <row r="6" spans="1:8" x14ac:dyDescent="0.25">
      <c r="A6" t="str">
        <f t="shared" ref="A6:A20" si="0">B6&amp;"-"&amp;C6</f>
        <v>Conservador-FOFs</v>
      </c>
      <c r="B6" t="s">
        <v>18</v>
      </c>
      <c r="C6" s="4" t="s">
        <v>28</v>
      </c>
      <c r="D6" s="32">
        <v>0.1</v>
      </c>
    </row>
    <row r="7" spans="1:8" x14ac:dyDescent="0.25">
      <c r="A7" t="str">
        <f t="shared" si="0"/>
        <v>Conservador-DESENVOLVIMENTO</v>
      </c>
      <c r="B7" t="s">
        <v>18</v>
      </c>
      <c r="C7" s="4" t="s">
        <v>29</v>
      </c>
      <c r="D7" s="32">
        <v>0</v>
      </c>
    </row>
    <row r="8" spans="1:8" ht="15.75" thickBot="1" x14ac:dyDescent="0.3">
      <c r="A8" s="34" t="str">
        <f t="shared" si="0"/>
        <v>Conservador-HOTELARIAS</v>
      </c>
      <c r="B8" s="34" t="s">
        <v>18</v>
      </c>
      <c r="C8" s="35" t="s">
        <v>30</v>
      </c>
      <c r="D8" s="36">
        <v>0</v>
      </c>
    </row>
    <row r="9" spans="1:8" x14ac:dyDescent="0.25">
      <c r="A9" t="str">
        <f t="shared" si="0"/>
        <v>Moderado-PAPEL</v>
      </c>
      <c r="B9" t="s">
        <v>19</v>
      </c>
      <c r="C9" s="4" t="s">
        <v>25</v>
      </c>
      <c r="D9" s="32">
        <v>0.32</v>
      </c>
    </row>
    <row r="10" spans="1:8" x14ac:dyDescent="0.25">
      <c r="A10" t="str">
        <f t="shared" si="0"/>
        <v>Moderado-TIJOLO</v>
      </c>
      <c r="B10" t="s">
        <v>19</v>
      </c>
      <c r="C10" s="4" t="s">
        <v>26</v>
      </c>
      <c r="D10" s="32">
        <v>0.35</v>
      </c>
    </row>
    <row r="11" spans="1:8" x14ac:dyDescent="0.25">
      <c r="A11" t="str">
        <f t="shared" si="0"/>
        <v>Moderado-HIBRIDOS</v>
      </c>
      <c r="B11" t="s">
        <v>19</v>
      </c>
      <c r="C11" s="4" t="s">
        <v>27</v>
      </c>
      <c r="D11" s="32">
        <v>0.08</v>
      </c>
    </row>
    <row r="12" spans="1:8" x14ac:dyDescent="0.25">
      <c r="A12" t="str">
        <f t="shared" si="0"/>
        <v>Moderado-FOFs</v>
      </c>
      <c r="B12" t="s">
        <v>19</v>
      </c>
      <c r="C12" s="4" t="s">
        <v>28</v>
      </c>
      <c r="D12" s="32">
        <v>0.05</v>
      </c>
    </row>
    <row r="13" spans="1:8" x14ac:dyDescent="0.25">
      <c r="A13" t="str">
        <f t="shared" si="0"/>
        <v>Moderado-DESENVOLVIMENTO</v>
      </c>
      <c r="B13" t="s">
        <v>19</v>
      </c>
      <c r="C13" s="4" t="s">
        <v>29</v>
      </c>
      <c r="D13" s="32">
        <v>0.1</v>
      </c>
    </row>
    <row r="14" spans="1:8" ht="15.75" thickBot="1" x14ac:dyDescent="0.3">
      <c r="A14" s="34" t="str">
        <f t="shared" si="0"/>
        <v>Moderado-HOTELARIAS</v>
      </c>
      <c r="B14" s="34" t="s">
        <v>19</v>
      </c>
      <c r="C14" s="35" t="s">
        <v>30</v>
      </c>
      <c r="D14" s="36">
        <v>0.1</v>
      </c>
    </row>
    <row r="15" spans="1:8" x14ac:dyDescent="0.25">
      <c r="A15" t="str">
        <f t="shared" si="0"/>
        <v>Agressivo-PAPEL</v>
      </c>
      <c r="B15" t="s">
        <v>20</v>
      </c>
      <c r="C15" s="4" t="s">
        <v>25</v>
      </c>
      <c r="D15" s="32">
        <v>0.5</v>
      </c>
    </row>
    <row r="16" spans="1:8" x14ac:dyDescent="0.25">
      <c r="A16" t="str">
        <f t="shared" si="0"/>
        <v>Agressivo-TIJOLO</v>
      </c>
      <c r="B16" t="s">
        <v>20</v>
      </c>
      <c r="C16" s="4" t="s">
        <v>26</v>
      </c>
      <c r="D16" s="32">
        <v>0.1</v>
      </c>
    </row>
    <row r="17" spans="1:4" x14ac:dyDescent="0.25">
      <c r="A17" t="str">
        <f t="shared" si="0"/>
        <v>Agressivo-HIBRIDOS</v>
      </c>
      <c r="B17" t="s">
        <v>20</v>
      </c>
      <c r="C17" s="4" t="s">
        <v>27</v>
      </c>
      <c r="D17" s="32">
        <v>0.05</v>
      </c>
    </row>
    <row r="18" spans="1:4" x14ac:dyDescent="0.25">
      <c r="A18" t="str">
        <f t="shared" si="0"/>
        <v>Agressivo-FOFs</v>
      </c>
      <c r="B18" t="s">
        <v>20</v>
      </c>
      <c r="C18" s="4" t="s">
        <v>28</v>
      </c>
      <c r="D18" s="32">
        <v>0.05</v>
      </c>
    </row>
    <row r="19" spans="1:4" x14ac:dyDescent="0.25">
      <c r="A19" t="str">
        <f t="shared" si="0"/>
        <v>Agressivo-DESENVOLVIMENTO</v>
      </c>
      <c r="B19" t="s">
        <v>20</v>
      </c>
      <c r="C19" s="4" t="s">
        <v>29</v>
      </c>
      <c r="D19" s="32">
        <v>0.2</v>
      </c>
    </row>
    <row r="20" spans="1:4" x14ac:dyDescent="0.25">
      <c r="A20" t="str">
        <f t="shared" si="0"/>
        <v>Agressivo-HOTELARIAS</v>
      </c>
      <c r="B20" t="s">
        <v>20</v>
      </c>
      <c r="C20" s="4" t="s">
        <v>30</v>
      </c>
      <c r="D20" s="3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Mercia Souza</dc:creator>
  <cp:lastModifiedBy>Mercia Souza</cp:lastModifiedBy>
  <dcterms:created xsi:type="dcterms:W3CDTF">2026-10-07T17:51:27Z</dcterms:created>
  <dcterms:modified xsi:type="dcterms:W3CDTF">2026-10-13T16:31:18Z</dcterms:modified>
</cp:coreProperties>
</file>